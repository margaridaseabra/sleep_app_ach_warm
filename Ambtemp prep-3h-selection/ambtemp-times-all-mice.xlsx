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idaseabra/sleep_app_ach_warm/Ambtemp prep/"/>
    </mc:Choice>
  </mc:AlternateContent>
  <xr:revisionPtr revIDLastSave="0" documentId="13_ncr:1_{71A1B67F-EB18-1E47-AFEF-DDEF8711AA69}" xr6:coauthVersionLast="47" xr6:coauthVersionMax="47" xr10:uidLastSave="{00000000-0000-0000-0000-000000000000}"/>
  <bookViews>
    <workbookView xWindow="0" yWindow="800" windowWidth="18000" windowHeight="11280" xr2:uid="{AC3A3929-1C32-4872-A212-843A856ADE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F10" i="1" s="1"/>
  <c r="C10" i="1"/>
  <c r="D10" i="1" s="1"/>
  <c r="E9" i="1"/>
  <c r="F9" i="1" s="1"/>
  <c r="E8" i="1"/>
  <c r="E7" i="1"/>
  <c r="E6" i="1"/>
  <c r="E5" i="1"/>
  <c r="E4" i="1"/>
  <c r="E3" i="1"/>
  <c r="E2" i="1"/>
  <c r="F2" i="1" s="1"/>
  <c r="C9" i="1"/>
  <c r="C8" i="1"/>
  <c r="C7" i="1"/>
  <c r="D7" i="1" s="1"/>
  <c r="C6" i="1"/>
  <c r="D6" i="1" s="1"/>
  <c r="C5" i="1"/>
  <c r="C4" i="1"/>
  <c r="D4" i="1" s="1"/>
  <c r="C3" i="1"/>
  <c r="C2" i="1"/>
  <c r="D2" i="1" s="1"/>
  <c r="D3" i="1"/>
  <c r="F3" i="1"/>
  <c r="F4" i="1"/>
  <c r="F5" i="1"/>
  <c r="F6" i="1"/>
  <c r="F7" i="1"/>
  <c r="F8" i="1"/>
  <c r="D5" i="1"/>
  <c r="D8" i="1"/>
  <c r="D9" i="1"/>
</calcChain>
</file>

<file path=xl/sharedStrings.xml><?xml version="1.0" encoding="utf-8"?>
<sst xmlns="http://schemas.openxmlformats.org/spreadsheetml/2006/main" count="15" uniqueCount="8">
  <si>
    <t>Mouse</t>
  </si>
  <si>
    <t>Genotype</t>
  </si>
  <si>
    <t>Time started (s)</t>
  </si>
  <si>
    <t>Time finished (s)</t>
  </si>
  <si>
    <t>Time finished (h)</t>
  </si>
  <si>
    <t>APP</t>
  </si>
  <si>
    <t>WT</t>
  </si>
  <si>
    <t>Time started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</si>
</sst>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D9E3-1256-44A7-86F1-5C06ED6336B6}">
  <dimension ref="A1:F10"/>
  <sheetViews>
    <sheetView tabSelected="1" workbookViewId="0">
      <selection activeCell="G19" sqref="G19"/>
    </sheetView>
  </sheetViews>
  <sheetFormatPr baseColWidth="10" defaultColWidth="8.83203125" defaultRowHeight="15" x14ac:dyDescent="0.2"/>
  <cols>
    <col min="3" max="3" width="14.83203125" bestFit="1" customWidth="1"/>
    <col min="4" max="4" width="14.5" bestFit="1" customWidth="1"/>
    <col min="5" max="5" width="15.83203125" bestFit="1" customWidth="1"/>
    <col min="6" max="6" width="16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</row>
    <row r="2" spans="1:6" x14ac:dyDescent="0.2">
      <c r="A2">
        <v>1</v>
      </c>
      <c r="B2" t="s">
        <v>5</v>
      </c>
      <c r="C2" s="1">
        <f>10294-1000</f>
        <v>9294</v>
      </c>
      <c r="D2">
        <f>C2/3600</f>
        <v>2.5816666666666666</v>
      </c>
      <c r="E2">
        <f>22630-1000</f>
        <v>21630</v>
      </c>
      <c r="F2">
        <f>E2/3600</f>
        <v>6.0083333333333337</v>
      </c>
    </row>
    <row r="3" spans="1:6" x14ac:dyDescent="0.2">
      <c r="A3">
        <v>2</v>
      </c>
      <c r="B3" t="s">
        <v>6</v>
      </c>
      <c r="C3">
        <f>13585.6-1000</f>
        <v>12585.6</v>
      </c>
      <c r="D3">
        <f>C3/3600</f>
        <v>3.496</v>
      </c>
      <c r="E3">
        <f>24495.4-1000</f>
        <v>23495.4</v>
      </c>
      <c r="F3">
        <f>E3/3600</f>
        <v>6.5265000000000004</v>
      </c>
    </row>
    <row r="4" spans="1:6" x14ac:dyDescent="0.2">
      <c r="A4">
        <v>10</v>
      </c>
      <c r="B4" t="s">
        <v>5</v>
      </c>
      <c r="C4">
        <f>11251-1000</f>
        <v>10251</v>
      </c>
      <c r="D4">
        <f t="shared" ref="D4:D10" si="0">C4/3600</f>
        <v>2.8475000000000001</v>
      </c>
      <c r="E4">
        <f>21991-1000</f>
        <v>20991</v>
      </c>
      <c r="F4">
        <f t="shared" ref="F4:F10" si="1">E4/3600</f>
        <v>5.8308333333333335</v>
      </c>
    </row>
    <row r="5" spans="1:6" x14ac:dyDescent="0.2">
      <c r="A5">
        <v>3</v>
      </c>
      <c r="B5" t="s">
        <v>5</v>
      </c>
      <c r="C5">
        <f>9985.98-1000</f>
        <v>8985.98</v>
      </c>
      <c r="D5">
        <f t="shared" si="0"/>
        <v>2.4961055555555554</v>
      </c>
      <c r="E5">
        <f>19982.5-1000</f>
        <v>18982.5</v>
      </c>
      <c r="F5">
        <f t="shared" si="1"/>
        <v>5.2729166666666663</v>
      </c>
    </row>
    <row r="6" spans="1:6" x14ac:dyDescent="0.2">
      <c r="A6">
        <v>4</v>
      </c>
      <c r="B6" t="s">
        <v>6</v>
      </c>
      <c r="C6">
        <f>10771.3-1000</f>
        <v>9771.2999999999993</v>
      </c>
      <c r="D6">
        <f t="shared" si="0"/>
        <v>2.7142499999999998</v>
      </c>
      <c r="E6">
        <f>22211-1000</f>
        <v>21211</v>
      </c>
      <c r="F6">
        <f t="shared" si="1"/>
        <v>5.8919444444444444</v>
      </c>
    </row>
    <row r="7" spans="1:6" x14ac:dyDescent="0.2">
      <c r="A7">
        <v>6</v>
      </c>
      <c r="B7" t="s">
        <v>5</v>
      </c>
      <c r="C7">
        <f>12171.3-1000</f>
        <v>11171.3</v>
      </c>
      <c r="D7">
        <f t="shared" si="0"/>
        <v>3.1031388888888887</v>
      </c>
      <c r="E7">
        <f>22620-1000</f>
        <v>21620</v>
      </c>
      <c r="F7">
        <f t="shared" si="1"/>
        <v>6.0055555555555555</v>
      </c>
    </row>
    <row r="8" spans="1:6" x14ac:dyDescent="0.2">
      <c r="A8">
        <v>12</v>
      </c>
      <c r="B8" t="s">
        <v>6</v>
      </c>
      <c r="C8">
        <f>10741.6-1000</f>
        <v>9741.6</v>
      </c>
      <c r="D8">
        <f t="shared" si="0"/>
        <v>2.706</v>
      </c>
      <c r="E8">
        <f>21420-1000</f>
        <v>20420</v>
      </c>
      <c r="F8">
        <f t="shared" si="1"/>
        <v>5.6722222222222225</v>
      </c>
    </row>
    <row r="9" spans="1:6" x14ac:dyDescent="0.2">
      <c r="A9">
        <v>8</v>
      </c>
      <c r="B9" t="s">
        <v>6</v>
      </c>
      <c r="C9">
        <f>10096.3-1000</f>
        <v>9096.2999999999993</v>
      </c>
      <c r="D9">
        <f t="shared" si="0"/>
        <v>2.5267499999999998</v>
      </c>
      <c r="E9">
        <f>21728.2-1000</f>
        <v>20728.2</v>
      </c>
      <c r="F9">
        <f t="shared" si="1"/>
        <v>5.7578333333333331</v>
      </c>
    </row>
    <row r="10" spans="1:6" x14ac:dyDescent="0.2">
      <c r="A10">
        <v>11</v>
      </c>
      <c r="B10" t="s">
        <v>6</v>
      </c>
      <c r="C10">
        <f>11709-1000</f>
        <v>10709</v>
      </c>
      <c r="D10">
        <f t="shared" si="0"/>
        <v>2.9747222222222223</v>
      </c>
      <c r="E10">
        <f>21011-1000</f>
        <v>20011</v>
      </c>
      <c r="F10">
        <f t="shared" si="1"/>
        <v>5.5586111111111114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Copenhagen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SUA-IN-KJAERBY</dc:creator>
  <cp:lastModifiedBy>Margarida Miguel Fernandes de Seabra Gomes</cp:lastModifiedBy>
  <dcterms:created xsi:type="dcterms:W3CDTF">2025-11-24T10:25:30Z</dcterms:created>
  <dcterms:modified xsi:type="dcterms:W3CDTF">2025-11-26T21:09:53Z</dcterms:modified>
</cp:coreProperties>
</file>